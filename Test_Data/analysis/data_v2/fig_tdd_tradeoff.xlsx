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Thesis\thesis\Test_Data\analysis\data_v2\"/>
    </mc:Choice>
  </mc:AlternateContent>
  <xr:revisionPtr revIDLastSave="0" documentId="13_ncr:1_{13B60DF1-950A-4304-B478-12B60D26AA1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lope" sheetId="1" r:id="rId1"/>
    <sheet name="SlotMap" sheetId="2" r:id="rId2"/>
    <sheet name="Reference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<sst xmlns="http://schemas.openxmlformats.org/spreadsheetml/2006/main" count="132" uniqueCount="79">
  <si>
    <t>Slope chart: TCP throughput, 3:1 vs 2:2 TDD (rx_gain 70 in both rounds)</t>
  </si>
  <si>
    <t>Chart this block: line chart with markers, categories A5:A6, four series B:E</t>
  </si>
  <si>
    <t>TDD</t>
  </si>
  <si>
    <t>A DL</t>
  </si>
  <si>
    <t>A UL</t>
  </si>
  <si>
    <t>C DL</t>
  </si>
  <si>
    <t>C UL</t>
  </si>
  <si>
    <t>3:1</t>
  </si>
  <si>
    <t>2:2</t>
  </si>
  <si>
    <t>Optional error-bar offsets (2:2 row only; the 3:1 round is n=1)</t>
  </si>
  <si>
    <t>series</t>
  </si>
  <si>
    <t>mean</t>
  </si>
  <si>
    <t>err_minus</t>
  </si>
  <si>
    <t>err_plus</t>
  </si>
  <si>
    <t>n</t>
  </si>
  <si>
    <t>Measured PUSCH occupancy per TDD slot - Location C, rx_gain 60, same session</t>
  </si>
  <si>
    <t>Chart this block: clustered column, categories A5:A9, two series B:C</t>
  </si>
  <si>
    <t>Slot</t>
  </si>
  <si>
    <t>2:2 PUSCH (PRB)</t>
  </si>
  <si>
    <t>3:1 PUSCH (PRB)</t>
  </si>
  <si>
    <t>Slot 0</t>
  </si>
  <si>
    <t>Slot 1</t>
  </si>
  <si>
    <t>Slot 2</t>
  </si>
  <si>
    <t>Slot 3</t>
  </si>
  <si>
    <t>Slot 4</t>
  </si>
  <si>
    <t>Full detail incl. PDSCH - read Notes before charting the PDSCH columns</t>
  </si>
  <si>
    <t>2:2 PUSCH</t>
  </si>
  <si>
    <t>2:2 PDSCH</t>
  </si>
  <si>
    <t>3:1 PUSCH</t>
  </si>
  <si>
    <t>3:1 PDSCH</t>
  </si>
  <si>
    <t>Observed change 3:1 -&gt; 2:2 against what airtime alone predicts</t>
  </si>
  <si>
    <t>Airtime prediction from measured slot counts: DL x0.75 (4-&gt;3 slots), UL x2.0 (1-&gt;2 slots)</t>
  </si>
  <si>
    <t>location</t>
  </si>
  <si>
    <t>direction</t>
  </si>
  <si>
    <t>3:1 Mb/s</t>
  </si>
  <si>
    <t>2:2 Mb/s</t>
  </si>
  <si>
    <t>observed factor</t>
  </si>
  <si>
    <t>airtime predicts</t>
  </si>
  <si>
    <t>A</t>
  </si>
  <si>
    <t>DL</t>
  </si>
  <si>
    <t>UL</t>
  </si>
  <si>
    <t>C</t>
  </si>
  <si>
    <t>CONFOUND: uplink SNR also moved between campaigns at identical gain settings</t>
  </si>
  <si>
    <t>protocol</t>
  </si>
  <si>
    <t>R1 SNR dB</t>
  </si>
  <si>
    <t>R2 SNR dB</t>
  </si>
  <si>
    <t>delta dB</t>
  </si>
  <si>
    <t>TCP</t>
  </si>
  <si>
    <t>UDP</t>
  </si>
  <si>
    <t>Slope sheet</t>
  </si>
  <si>
    <t>Location B is absent on purpose: Round 2 at B is the unusable metal-stand data.</t>
  </si>
  <si>
    <t>The 3:1 row is Round 1, n=1 per condition, so it has no spread. Only the 2:2 row</t>
  </si>
  <si>
    <t>can carry error bars. Offsets are already mean-relative - do not recompute them.</t>
  </si>
  <si>
    <t>DL/UL ratio goes 5.84 -&gt; 1.32 at A (converges) and 17.55 -&gt; 0.39 at C, where</t>
  </si>
  <si>
    <t>uplink ends up 2.6x downlink. That reversal is the headline, not the convergence.</t>
  </si>
  <si>
    <t>SlotMap sheet</t>
  </si>
  <si>
    <t>The PUSCH columns are the structural claim: uplink can only be scheduled in slot 4</t>
  </si>
  <si>
    <t>under 3:1, and in slots 3-4 under 2:2. That holds whatever traffic was running.</t>
  </si>
  <si>
    <t>Use the slot POSITIONS, not the PRB magnitudes. The two units carried different</t>
  </si>
  <si>
    <t>traffic mixes - the 2:2 unit aggregates every test at that location, including</t>
  </si>
  <si>
    <t>downlink runs where the uplink only carries ACKs, while the 3:1 unit is uplink-only.</t>
  </si>
  <si>
    <t>So totalling the PRBs (58.5 at 2:2 vs 42.1 at 3:1, x1.39) is NOT a capacity ratio</t>
  </si>
  <si>
    <t>and must not be quoted as one. The 3:1 slot is fuller (42.1 of 51 PRB) partly</t>
  </si>
  <si>
    <t>because the scheduler compensates, and partly because that run was uplink-only.</t>
  </si>
  <si>
    <t>WARNING on the PDSCH columns: the 3:1 unit (R3_5G_C_TDD31) was a TCP UPLINK-ONLY</t>
  </si>
  <si>
    <t>run, so its PDSCH values are near zero because there was no downlink traffic, NOT</t>
  </si>
  <si>
    <t>because the slots were unavailable. Do not chart 3:1 PDSCH against 2:2 PDSCH as if</t>
  </si>
  <si>
    <t>it showed a structural difference. Chart PUSCH only, or state the caveat.</t>
  </si>
  <si>
    <t>Round 1 has no airtime data at all - its logs carry no Scheduler-cell METRICS</t>
  </si>
  <si>
    <t>lines. That is why the slot map uses the Round 3 pair (same location, same gain,</t>
  </si>
  <si>
    <t>same session) rather than the Round 1 vs Round 2 pair used on the Slope sheet.</t>
  </si>
  <si>
    <t>Reference sheet</t>
  </si>
  <si>
    <t>At A the observed factors (DL x0.56, UL x2.48) sit near the airtime prediction.</t>
  </si>
  <si>
    <t>At C the uplink gain is x19.9, an order of magnitude past it - because uplink SNR</t>
  </si>
  <si>
    <t>also rose 22.4 dB between the campaigns at identical gain settings. Caption the</t>
  </si>
  <si>
    <t>figure as the change observed between rounds, not as the effect of the TDD pattern.</t>
  </si>
  <si>
    <t>3:1 / rx70</t>
  </si>
  <si>
    <t>2:2 / rx60</t>
  </si>
  <si>
    <t>2:2 / rx70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</si>
</sst>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Slope!$A$5</c:f>
              <c:strCache>
                <c:ptCount val="1"/>
                <c:pt idx="0">
                  <c:v>3:1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Slope!$B$4:$E$4</c:f>
              <c:strCache>
                <c:ptCount val="4"/>
                <c:pt idx="0">
                  <c:v>A DL</c:v>
                </c:pt>
                <c:pt idx="1">
                  <c:v>A UL</c:v>
                </c:pt>
                <c:pt idx="2">
                  <c:v>C DL</c:v>
                </c:pt>
                <c:pt idx="3">
                  <c:v>C UL</c:v>
                </c:pt>
              </c:strCache>
            </c:strRef>
          </c:cat>
          <c:val>
            <c:numRef>
              <c:f>Slope!$B$5:$E$5</c:f>
              <c:numCache>
                <c:formatCode>General</c:formatCode>
                <c:ptCount val="4"/>
                <c:pt idx="0">
                  <c:v>29.619</c:v>
                </c:pt>
                <c:pt idx="1">
                  <c:v>5.0730000000000004</c:v>
                </c:pt>
                <c:pt idx="2">
                  <c:v>10.250999999999999</c:v>
                </c:pt>
                <c:pt idx="3">
                  <c:v>0.58399999999999996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3-4095-9050-9BECE4D2A902}"/>
            </c:ext>
          </c:extLst>
        </c:ser>
        <c:ser>
          <c:idx val="1"/>
          <c:order val="1"/>
          <c:tx>
            <c:strRef>
              <c:f>Slope!$A$6</c:f>
              <c:strCache>
                <c:ptCount val="1"/>
                <c:pt idx="0">
                  <c:v>2:2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Slope!$B$4:$E$4</c:f>
              <c:strCache>
                <c:ptCount val="4"/>
                <c:pt idx="0">
                  <c:v>A DL</c:v>
                </c:pt>
                <c:pt idx="1">
                  <c:v>A UL</c:v>
                </c:pt>
                <c:pt idx="2">
                  <c:v>C DL</c:v>
                </c:pt>
                <c:pt idx="3">
                  <c:v>C UL</c:v>
                </c:pt>
              </c:strCache>
            </c:strRef>
          </c:cat>
          <c:val>
            <c:numRef>
              <c:f>Slope!$B$6:$E$6</c:f>
              <c:numCache>
                <c:formatCode>General</c:formatCode>
                <c:ptCount val="4"/>
                <c:pt idx="0">
                  <c:v>16.533000000000001</c:v>
                </c:pt>
                <c:pt idx="1">
                  <c:v>12.567</c:v>
                </c:pt>
                <c:pt idx="2">
                  <c:v>4.5</c:v>
                </c:pt>
                <c:pt idx="3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3-4095-9050-9BECE4D2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117888"/>
        <c:axId val="500413455"/>
      </c:barChart>
      <c:catAx>
        <c:axId val="13411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13455"/>
        <c:crosses val="autoZero"/>
        <c:auto val="1"/>
        <c:lblAlgn val="ctr"/>
        <c:lblOffset val="100"/>
        <c:noMultiLvlLbl val="0"/>
      </c:catAx>
      <c:valAx>
        <c:axId val="50041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1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Slope!$H$25</c:f>
              <c:strCache>
                <c:ptCount val="1"/>
                <c:pt idx="0">
                  <c:v>A DL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Slope!$I$24:$J$24</c:f>
              <c:strCache>
                <c:ptCount val="2"/>
                <c:pt idx="0">
                  <c:v>3:1 / rx70</c:v>
                </c:pt>
                <c:pt idx="1">
                  <c:v>2:2 / rx70</c:v>
                </c:pt>
              </c:strCache>
            </c:strRef>
          </c:cat>
          <c:val>
            <c:numRef>
              <c:f>Slope!$I$25:$J$25</c:f>
              <c:numCache>
                <c:formatCode>General</c:formatCode>
                <c:ptCount val="2"/>
                <c:pt idx="0">
                  <c:v>29.619</c:v>
                </c:pt>
                <c:pt idx="1">
                  <c:v>16.533000000000001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0-437A-8F8D-8E30B60EAE98}"/>
            </c:ext>
          </c:extLst>
        </c:ser>
        <c:ser>
          <c:idx val="1"/>
          <c:order val="1"/>
          <c:tx>
            <c:strRef>
              <c:f>Slope!$H$26</c:f>
              <c:strCache>
                <c:ptCount val="1"/>
                <c:pt idx="0">
                  <c:v>A 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Slope!$I$24:$J$24</c:f>
              <c:strCache>
                <c:ptCount val="2"/>
                <c:pt idx="0">
                  <c:v>3:1 / rx70</c:v>
                </c:pt>
                <c:pt idx="1">
                  <c:v>2:2 / rx70</c:v>
                </c:pt>
              </c:strCache>
            </c:strRef>
          </c:cat>
          <c:val>
            <c:numRef>
              <c:f>Slope!$I$26:$J$26</c:f>
              <c:numCache>
                <c:formatCode>General</c:formatCode>
                <c:ptCount val="2"/>
                <c:pt idx="0">
                  <c:v>5.0730000000000004</c:v>
                </c:pt>
                <c:pt idx="1">
                  <c:v>12.567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0-437A-8F8D-8E30B60EAE98}"/>
            </c:ext>
          </c:extLst>
        </c:ser>
        <c:ser>
          <c:idx val="2"/>
          <c:order val="2"/>
          <c:tx>
            <c:strRef>
              <c:f>Slope!$H$27</c:f>
              <c:strCache>
                <c:ptCount val="1"/>
                <c:pt idx="0">
                  <c:v>C DL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Slope!$I$24:$J$24</c:f>
              <c:strCache>
                <c:ptCount val="2"/>
                <c:pt idx="0">
                  <c:v>3:1 / rx70</c:v>
                </c:pt>
                <c:pt idx="1">
                  <c:v>2:2 / rx70</c:v>
                </c:pt>
              </c:strCache>
            </c:strRef>
          </c:cat>
          <c:val>
            <c:numRef>
              <c:f>Slope!$I$27:$J$27</c:f>
              <c:numCache>
                <c:formatCode>General</c:formatCode>
                <c:ptCount val="2"/>
                <c:pt idx="0">
                  <c:v>10.250999999999999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00-437A-8F8D-8E30B60EAE98}"/>
            </c:ext>
          </c:extLst>
        </c:ser>
        <c:ser>
          <c:idx val="3"/>
          <c:order val="3"/>
          <c:tx>
            <c:strRef>
              <c:f>Slope!$H$28</c:f>
              <c:strCache>
                <c:ptCount val="1"/>
                <c:pt idx="0">
                  <c:v>C 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Slope!$I$24:$J$24</c:f>
              <c:strCache>
                <c:ptCount val="2"/>
                <c:pt idx="0">
                  <c:v>3:1 / rx70</c:v>
                </c:pt>
                <c:pt idx="1">
                  <c:v>2:2 / rx70</c:v>
                </c:pt>
              </c:strCache>
            </c:strRef>
          </c:cat>
          <c:val>
            <c:numRef>
              <c:f>Slope!$I$28:$J$28</c:f>
              <c:numCache>
                <c:formatCode>General</c:formatCode>
                <c:ptCount val="2"/>
                <c:pt idx="0">
                  <c:v>0.58399999999999996</c:v>
                </c:pt>
                <c:pt idx="1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00-437A-8F8D-8E30B60E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876768"/>
        <c:axId val="500352975"/>
      </c:barChart>
      <c:catAx>
        <c:axId val="12398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52975"/>
        <c:crosses val="autoZero"/>
        <c:auto val="1"/>
        <c:lblAlgn val="ctr"/>
        <c:lblOffset val="100"/>
        <c:noMultiLvlLbl val="0"/>
      </c:catAx>
      <c:valAx>
        <c:axId val="5003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GB" sz="1100" b="1">
                <a:solidFill>
                  <a:sysClr val="windowText" lastClr="000000"/>
                </a:solidFill>
                <a:latin typeface="Palatino Linotype" panose="02040502050505030304" pitchFamily="18" charset="0"/>
              </a:rPr>
              <a:t>5G network</a:t>
            </a:r>
            <a:r>
              <a:rPr lang="en-GB" sz="1100" b="1" baseline="0">
                <a:solidFill>
                  <a:sysClr val="windowText" lastClr="000000"/>
                </a:solidFill>
                <a:latin typeface="Palatino Linotype" panose="02040502050505030304" pitchFamily="18" charset="0"/>
              </a:rPr>
              <a:t> throughput</a:t>
            </a:r>
            <a:endParaRPr lang="en-GB" sz="1100" b="1">
              <a:solidFill>
                <a:sysClr val="windowText" lastClr="000000"/>
              </a:solidFill>
              <a:latin typeface="Palatino Linotype" panose="0204050205050503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3170867239921369"/>
          <c:y val="0.16163203557888597"/>
          <c:w val="0.83760792453244604"/>
          <c:h val="0.54918489355497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Slope!$H$25</c:f>
              <c:strCache>
                <c:ptCount val="1"/>
                <c:pt idx="0">
                  <c:v>A DL</c:v>
                </c:pt>
              </c:strCache>
            </c:strRef>
          </c:tx>
          <c:spPr>
            <a:solidFill>
              <a:schemeClr val="accent1"/>
            </a:solidFill>
            <a:ln cap="sq" cmpd="sng">
              <a:noFill/>
              <a:miter lim="800000"/>
              <a:headEnd type="diamond" w="sm" len="med"/>
              <a:tailEnd type="diamond" w="sm" len="med"/>
            </a:ln>
            <a:effectLst/>
          </c:spPr>
          <c:invertIfNegative val="0"/>
          <c:cat>
            <c:strRef>
              <c:f>Slope!$I$24:$K$24</c:f>
              <c:strCache>
                <c:ptCount val="3"/>
                <c:pt idx="0">
                  <c:v>3:1 / rx70</c:v>
                </c:pt>
                <c:pt idx="1">
                  <c:v>2:2 / rx70</c:v>
                </c:pt>
                <c:pt idx="2">
                  <c:v>2:2 / rx60</c:v>
                </c:pt>
              </c:strCache>
            </c:strRef>
          </c:cat>
          <c:val>
            <c:numRef>
              <c:f>Slope!$I$25:$K$25</c:f>
              <c:numCache>
                <c:formatCode>General</c:formatCode>
                <c:ptCount val="3"/>
                <c:pt idx="0">
                  <c:v>29.619</c:v>
                </c:pt>
                <c:pt idx="1">
                  <c:v>16.533000000000001</c:v>
                </c:pt>
                <c:pt idx="2">
                  <c:v>22.433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6-488D-80CC-F2DBE8CF29CD}"/>
            </c:ext>
          </c:extLst>
        </c:ser>
        <c:ser>
          <c:idx val="1"/>
          <c:order val="1"/>
          <c:tx>
            <c:strRef>
              <c:f>Slope!$H$26</c:f>
              <c:strCache>
                <c:ptCount val="1"/>
                <c:pt idx="0">
                  <c:v>A UL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  <a:headEnd type="diamond" w="sm" len="med"/>
              <a:tailEnd type="diamond" w="sm" len="med"/>
            </a:ln>
            <a:effectLst/>
          </c:spPr>
          <c:invertIfNegative val="0"/>
          <c:cat>
            <c:strRef>
              <c:f>Slope!$I$24:$K$24</c:f>
              <c:strCache>
                <c:ptCount val="3"/>
                <c:pt idx="0">
                  <c:v>3:1 / rx70</c:v>
                </c:pt>
                <c:pt idx="1">
                  <c:v>2:2 / rx70</c:v>
                </c:pt>
                <c:pt idx="2">
                  <c:v>2:2 / rx60</c:v>
                </c:pt>
              </c:strCache>
            </c:strRef>
          </c:cat>
          <c:val>
            <c:numRef>
              <c:f>Slope!$I$26:$K$26</c:f>
              <c:numCache>
                <c:formatCode>General</c:formatCode>
                <c:ptCount val="3"/>
                <c:pt idx="0">
                  <c:v>5.0730000000000004</c:v>
                </c:pt>
                <c:pt idx="1">
                  <c:v>12.567</c:v>
                </c:pt>
                <c:pt idx="2">
                  <c:v>25.233000000000001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6-488D-80CC-F2DBE8CF29CD}"/>
            </c:ext>
          </c:extLst>
        </c:ser>
        <c:ser>
          <c:idx val="2"/>
          <c:order val="2"/>
          <c:tx>
            <c:strRef>
              <c:f>Slope!$H$27</c:f>
              <c:strCache>
                <c:ptCount val="1"/>
                <c:pt idx="0">
                  <c:v>C DL</c:v>
                </c:pt>
              </c:strCache>
            </c:strRef>
          </c:tx>
          <c:spPr>
            <a:solidFill>
              <a:srgbClr val="C00000"/>
            </a:solidFill>
            <a:ln>
              <a:noFill/>
              <a:headEnd type="diamond" w="sm" len="med"/>
              <a:tailEnd type="diamond" w="sm" len="med"/>
            </a:ln>
            <a:effectLst/>
          </c:spPr>
          <c:invertIfNegative val="0"/>
          <c:cat>
            <c:strRef>
              <c:f>Slope!$I$24:$K$24</c:f>
              <c:strCache>
                <c:ptCount val="3"/>
                <c:pt idx="0">
                  <c:v>3:1 / rx70</c:v>
                </c:pt>
                <c:pt idx="1">
                  <c:v>2:2 / rx70</c:v>
                </c:pt>
                <c:pt idx="2">
                  <c:v>2:2 / rx60</c:v>
                </c:pt>
              </c:strCache>
            </c:strRef>
          </c:cat>
          <c:val>
            <c:numRef>
              <c:f>Slope!$I$27:$K$27</c:f>
              <c:numCache>
                <c:formatCode>General</c:formatCode>
                <c:ptCount val="3"/>
                <c:pt idx="0">
                  <c:v>10.250999999999999</c:v>
                </c:pt>
                <c:pt idx="1">
                  <c:v>4.5</c:v>
                </c:pt>
                <c:pt idx="2">
                  <c:v>6.867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6-488D-80CC-F2DBE8CF29CD}"/>
            </c:ext>
          </c:extLst>
        </c:ser>
        <c:ser>
          <c:idx val="3"/>
          <c:order val="3"/>
          <c:tx>
            <c:strRef>
              <c:f>Slope!$H$28</c:f>
              <c:strCache>
                <c:ptCount val="1"/>
                <c:pt idx="0">
                  <c:v>C UL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  <a:headEnd type="diamond" w="sm" len="med"/>
              <a:tailEnd type="diamond" w="sm" len="med"/>
            </a:ln>
            <a:effectLst/>
          </c:spPr>
          <c:invertIfNegative val="0"/>
          <c:cat>
            <c:strRef>
              <c:f>Slope!$I$24:$K$24</c:f>
              <c:strCache>
                <c:ptCount val="3"/>
                <c:pt idx="0">
                  <c:v>3:1 / rx70</c:v>
                </c:pt>
                <c:pt idx="1">
                  <c:v>2:2 / rx70</c:v>
                </c:pt>
                <c:pt idx="2">
                  <c:v>2:2 / rx60</c:v>
                </c:pt>
              </c:strCache>
            </c:strRef>
          </c:cat>
          <c:val>
            <c:numRef>
              <c:f>Slope!$I$28:$K$28</c:f>
              <c:numCache>
                <c:formatCode>General</c:formatCode>
                <c:ptCount val="3"/>
                <c:pt idx="0">
                  <c:v>0.58399999999999996</c:v>
                </c:pt>
                <c:pt idx="1">
                  <c:v>11.6</c:v>
                </c:pt>
                <c:pt idx="2">
                  <c:v>2.7730000000000001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6-488D-80CC-F2DBE8CF2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99145312"/>
        <c:axId val="500433615"/>
      </c:barChart>
      <c:catAx>
        <c:axId val="79914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  <a:latin typeface="Palatino Linotype" panose="02040502050505030304" pitchFamily="18" charset="0"/>
                  </a:rPr>
                  <a:t>Configuration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0433615"/>
        <c:crosses val="autoZero"/>
        <c:auto val="1"/>
        <c:lblAlgn val="ctr"/>
        <c:lblOffset val="100"/>
        <c:noMultiLvlLbl val="0"/>
      </c:catAx>
      <c:valAx>
        <c:axId val="50043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  <a:latin typeface="Palatino Linotype" panose="02040502050505030304" pitchFamily="18" charset="0"/>
                  </a:rPr>
                  <a:t>Throughput</a:t>
                </a:r>
                <a:r>
                  <a:rPr lang="en-GB" b="1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</a:rPr>
                  <a:t> (Mbps)</a:t>
                </a:r>
                <a:endParaRPr lang="en-GB" b="1">
                  <a:solidFill>
                    <a:sysClr val="windowText" lastClr="000000"/>
                  </a:solidFill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9914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23813</xdr:colOff>
      <xdr:row>3</xdr:row>
      <xdr:rowOff>10715</xdr:rowOff>
    </xdr:from>
    <xdr:to>
      <xdr:col>13</xdr:col>
      <xdr:colOff>328613</xdr:colOff>
      <xdr:row>17</xdr:row>
      <xdr:rowOff>86915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6D3968-B418-0250-9663-BC9FF259E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590550</xdr:colOff>
      <xdr:row>17</xdr:row>
      <xdr:rowOff>52387</xdr:rowOff>
    </xdr:from>
    <xdr:to>
      <xdr:col>28</xdr:col>
      <xdr:colOff>285750</xdr:colOff>
      <xdr:row>31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2F4714-951E-FDE1-DB41-AFEF06141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500063</xdr:colOff>
      <xdr:row>20</xdr:row>
      <xdr:rowOff>111918</xdr:rowOff>
    </xdr:from>
    <xdr:to>
      <xdr:col>20</xdr:col>
      <xdr:colOff>195263</xdr:colOff>
      <xdr:row>34</xdr:row>
      <xdr:rowOff>188118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087029-84F7-7455-CEF6-77C0EE06A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130" zoomScaleNormal="130" workbookViewId="0">
      <selection activeCell="S16" sqref="S16"/>
    </sheetView>
  </sheetViews>
  <sheetFormatPr defaultRowHeight="15" x14ac:dyDescent="0.25"/>
  <cols>
    <col min="1" max="1" width="36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3" spans="1:5" x14ac:dyDescent="0.25">
      <c r="B3" s="3" t="s">
        <v>38</v>
      </c>
      <c r="C3" s="3"/>
      <c r="D3" s="3" t="s">
        <v>41</v>
      </c>
      <c r="E3" s="3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t="s">
        <v>7</v>
      </c>
      <c r="B5">
        <v>29.619</v>
      </c>
      <c r="C5">
        <v>5.0730000000000004</v>
      </c>
      <c r="D5">
        <v>10.250999999999999</v>
      </c>
      <c r="E5">
        <v>0.58399999999999996</v>
      </c>
    </row>
    <row r="6" spans="1:5" x14ac:dyDescent="0.25">
      <c r="A6" t="s">
        <v>8</v>
      </c>
      <c r="B6">
        <v>16.533000000000001</v>
      </c>
      <c r="C6">
        <v>12.567</v>
      </c>
      <c r="D6">
        <v>4.5</v>
      </c>
      <c r="E6">
        <v>11.6</v>
      </c>
    </row>
    <row r="8" spans="1:5" x14ac:dyDescent="0.25">
      <c r="A8" s="1" t="s">
        <v>9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</row>
    <row r="10" spans="1:5" x14ac:dyDescent="0.25">
      <c r="A10" t="s">
        <v>3</v>
      </c>
      <c r="B10">
        <v>16.533000000000001</v>
      </c>
      <c r="C10">
        <v>1.9330000000000001</v>
      </c>
      <c r="D10">
        <v>1.367</v>
      </c>
      <c r="E10">
        <v>3</v>
      </c>
    </row>
    <row r="11" spans="1:5" x14ac:dyDescent="0.25">
      <c r="A11" t="s">
        <v>4</v>
      </c>
      <c r="B11">
        <v>12.567</v>
      </c>
      <c r="C11">
        <v>0.46700000000000003</v>
      </c>
      <c r="D11">
        <v>0.33300000000000002</v>
      </c>
      <c r="E11">
        <v>3</v>
      </c>
    </row>
    <row r="12" spans="1:5" x14ac:dyDescent="0.25">
      <c r="A12" t="s">
        <v>5</v>
      </c>
      <c r="B12">
        <v>4.5</v>
      </c>
      <c r="C12">
        <v>0.25</v>
      </c>
      <c r="D12">
        <v>0.48</v>
      </c>
      <c r="E12">
        <v>3</v>
      </c>
    </row>
    <row r="13" spans="1:5" x14ac:dyDescent="0.25">
      <c r="A13" t="s">
        <v>6</v>
      </c>
      <c r="B13">
        <v>11.6</v>
      </c>
      <c r="C13">
        <v>0.2</v>
      </c>
      <c r="D13">
        <v>0.1</v>
      </c>
      <c r="E13">
        <v>3</v>
      </c>
    </row>
    <row r="23" spans="1:11" x14ac:dyDescent="0.25">
      <c r="B23" s="3" t="s">
        <v>38</v>
      </c>
      <c r="C23" s="3"/>
      <c r="D23" s="3" t="s">
        <v>41</v>
      </c>
      <c r="E23" s="3"/>
    </row>
    <row r="24" spans="1:11" x14ac:dyDescent="0.25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I24" t="s">
        <v>76</v>
      </c>
      <c r="J24" t="s">
        <v>78</v>
      </c>
      <c r="K24" t="s">
        <v>77</v>
      </c>
    </row>
    <row r="25" spans="1:11" x14ac:dyDescent="0.25">
      <c r="A25" t="s">
        <v>7</v>
      </c>
      <c r="B25">
        <v>29.619</v>
      </c>
      <c r="C25">
        <v>5.0730000000000004</v>
      </c>
      <c r="D25">
        <v>10.250999999999999</v>
      </c>
      <c r="E25">
        <v>0.58399999999999996</v>
      </c>
      <c r="H25" s="1" t="s">
        <v>3</v>
      </c>
      <c r="I25">
        <v>29.619</v>
      </c>
      <c r="J25">
        <v>16.533000000000001</v>
      </c>
      <c r="K25">
        <v>22.433</v>
      </c>
    </row>
    <row r="26" spans="1:11" x14ac:dyDescent="0.25">
      <c r="A26" t="s">
        <v>8</v>
      </c>
      <c r="B26">
        <v>16.533000000000001</v>
      </c>
      <c r="C26">
        <v>12.567</v>
      </c>
      <c r="D26">
        <v>4.5</v>
      </c>
      <c r="E26">
        <v>11.6</v>
      </c>
      <c r="H26" s="1" t="s">
        <v>4</v>
      </c>
      <c r="I26">
        <v>5.0730000000000004</v>
      </c>
      <c r="J26">
        <v>12.567</v>
      </c>
      <c r="K26">
        <v>25.233000000000001</v>
      </c>
    </row>
    <row r="27" spans="1:11" x14ac:dyDescent="0.25">
      <c r="H27" s="1" t="s">
        <v>5</v>
      </c>
      <c r="I27">
        <v>10.250999999999999</v>
      </c>
      <c r="J27">
        <v>4.5</v>
      </c>
      <c r="K27">
        <v>6.867</v>
      </c>
    </row>
    <row r="28" spans="1:11" x14ac:dyDescent="0.25">
      <c r="H28" s="1" t="s">
        <v>6</v>
      </c>
      <c r="I28">
        <v>0.58399999999999996</v>
      </c>
      <c r="J28">
        <v>11.6</v>
      </c>
      <c r="K28">
        <v>2.7730000000000001</v>
      </c>
    </row>
  </sheetData>
  <mergeCells count="4">
    <mergeCell ref="B3:C3"/>
    <mergeCell ref="D3:E3"/>
    <mergeCell ref="B23:C23"/>
    <mergeCell ref="D23:E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5"/>
  <cols>
    <col min="1" max="1" width="22" customWidth="1"/>
    <col min="2" max="5" width="16" customWidth="1"/>
  </cols>
  <sheetData>
    <row r="1" spans="1:5" x14ac:dyDescent="0.25">
      <c r="A1" s="1" t="s">
        <v>15</v>
      </c>
    </row>
    <row r="2" spans="1:5" x14ac:dyDescent="0.25">
      <c r="A2" s="2" t="s">
        <v>16</v>
      </c>
    </row>
    <row r="4" spans="1:5" x14ac:dyDescent="0.25">
      <c r="A4" s="1" t="s">
        <v>17</v>
      </c>
      <c r="B4" s="1" t="s">
        <v>18</v>
      </c>
      <c r="C4" s="1" t="s">
        <v>19</v>
      </c>
    </row>
    <row r="5" spans="1:5" x14ac:dyDescent="0.25">
      <c r="A5" t="s">
        <v>20</v>
      </c>
      <c r="B5">
        <v>0</v>
      </c>
      <c r="C5">
        <v>0</v>
      </c>
    </row>
    <row r="6" spans="1:5" x14ac:dyDescent="0.25">
      <c r="A6" t="s">
        <v>21</v>
      </c>
      <c r="B6">
        <v>0</v>
      </c>
      <c r="C6">
        <v>0</v>
      </c>
    </row>
    <row r="7" spans="1:5" x14ac:dyDescent="0.25">
      <c r="A7" t="s">
        <v>22</v>
      </c>
      <c r="B7">
        <v>0</v>
      </c>
      <c r="C7">
        <v>0</v>
      </c>
    </row>
    <row r="8" spans="1:5" x14ac:dyDescent="0.25">
      <c r="A8" t="s">
        <v>23</v>
      </c>
      <c r="B8">
        <v>32.434699999999999</v>
      </c>
      <c r="C8">
        <v>0</v>
      </c>
    </row>
    <row r="9" spans="1:5" x14ac:dyDescent="0.25">
      <c r="A9" t="s">
        <v>24</v>
      </c>
      <c r="B9">
        <v>26.038499999999999</v>
      </c>
      <c r="C9">
        <v>42.094000000000001</v>
      </c>
    </row>
    <row r="11" spans="1:5" x14ac:dyDescent="0.25">
      <c r="A11" s="1" t="s">
        <v>25</v>
      </c>
    </row>
    <row r="12" spans="1:5" x14ac:dyDescent="0.25">
      <c r="A12" s="1" t="s">
        <v>17</v>
      </c>
      <c r="B12" s="1" t="s">
        <v>26</v>
      </c>
      <c r="C12" s="1" t="s">
        <v>27</v>
      </c>
      <c r="D12" s="1" t="s">
        <v>28</v>
      </c>
      <c r="E12" s="1" t="s">
        <v>29</v>
      </c>
    </row>
    <row r="13" spans="1:5" x14ac:dyDescent="0.25">
      <c r="A13" t="s">
        <v>20</v>
      </c>
      <c r="B13">
        <v>0</v>
      </c>
      <c r="C13">
        <v>18.2377</v>
      </c>
      <c r="D13">
        <v>0</v>
      </c>
      <c r="E13">
        <v>0.96579999999999999</v>
      </c>
    </row>
    <row r="14" spans="1:5" x14ac:dyDescent="0.25">
      <c r="A14" t="s">
        <v>21</v>
      </c>
      <c r="B14">
        <v>0</v>
      </c>
      <c r="C14">
        <v>19.901499999999999</v>
      </c>
      <c r="D14">
        <v>0</v>
      </c>
      <c r="E14">
        <v>0.47860000000000003</v>
      </c>
    </row>
    <row r="15" spans="1:5" x14ac:dyDescent="0.25">
      <c r="A15" t="s">
        <v>22</v>
      </c>
      <c r="B15">
        <v>0</v>
      </c>
      <c r="C15">
        <v>20.017099999999999</v>
      </c>
      <c r="D15">
        <v>0</v>
      </c>
      <c r="E15">
        <v>7.6899999999999996E-2</v>
      </c>
    </row>
    <row r="16" spans="1:5" x14ac:dyDescent="0.25">
      <c r="A16" t="s">
        <v>23</v>
      </c>
      <c r="B16">
        <v>32.434699999999999</v>
      </c>
      <c r="C16">
        <v>0</v>
      </c>
      <c r="D16">
        <v>0</v>
      </c>
      <c r="E16">
        <v>0.35899999999999999</v>
      </c>
    </row>
    <row r="17" spans="1:5" x14ac:dyDescent="0.25">
      <c r="A17" t="s">
        <v>24</v>
      </c>
      <c r="B17">
        <v>26.038499999999999</v>
      </c>
      <c r="C17">
        <v>0</v>
      </c>
      <c r="D17">
        <v>42.094000000000001</v>
      </c>
      <c r="E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5" x14ac:dyDescent="0.25"/>
  <cols>
    <col min="1" max="6" width="16" customWidth="1"/>
  </cols>
  <sheetData>
    <row r="1" spans="1:6" x14ac:dyDescent="0.25">
      <c r="A1" s="1" t="s">
        <v>30</v>
      </c>
    </row>
    <row r="2" spans="1:6" x14ac:dyDescent="0.25">
      <c r="A2" s="2" t="s">
        <v>31</v>
      </c>
    </row>
    <row r="4" spans="1:6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</row>
    <row r="5" spans="1:6" x14ac:dyDescent="0.25">
      <c r="A5" t="s">
        <v>38</v>
      </c>
      <c r="B5" t="s">
        <v>39</v>
      </c>
      <c r="C5">
        <v>29.619</v>
      </c>
      <c r="D5">
        <v>16.533000000000001</v>
      </c>
      <c r="E5">
        <v>0.56000000000000005</v>
      </c>
      <c r="F5">
        <v>0.75</v>
      </c>
    </row>
    <row r="6" spans="1:6" x14ac:dyDescent="0.25">
      <c r="A6" t="s">
        <v>38</v>
      </c>
      <c r="B6" t="s">
        <v>40</v>
      </c>
      <c r="C6">
        <v>5.0730000000000004</v>
      </c>
      <c r="D6">
        <v>12.567</v>
      </c>
      <c r="E6">
        <v>2.48</v>
      </c>
      <c r="F6">
        <v>2</v>
      </c>
    </row>
    <row r="7" spans="1:6" x14ac:dyDescent="0.25">
      <c r="A7" t="s">
        <v>41</v>
      </c>
      <c r="B7" t="s">
        <v>39</v>
      </c>
      <c r="C7">
        <v>10.250999999999999</v>
      </c>
      <c r="D7">
        <v>4.5</v>
      </c>
      <c r="E7">
        <v>0.44</v>
      </c>
      <c r="F7">
        <v>0.75</v>
      </c>
    </row>
    <row r="8" spans="1:6" x14ac:dyDescent="0.25">
      <c r="A8" t="s">
        <v>41</v>
      </c>
      <c r="B8" t="s">
        <v>40</v>
      </c>
      <c r="C8">
        <v>0.58399999999999996</v>
      </c>
      <c r="D8">
        <v>11.6</v>
      </c>
      <c r="E8">
        <v>19.86</v>
      </c>
      <c r="F8">
        <v>2</v>
      </c>
    </row>
    <row r="10" spans="1:6" x14ac:dyDescent="0.25">
      <c r="A10" s="1" t="s">
        <v>42</v>
      </c>
    </row>
    <row r="11" spans="1:6" x14ac:dyDescent="0.25">
      <c r="A11" s="1" t="s">
        <v>32</v>
      </c>
      <c r="B11" s="1" t="s">
        <v>43</v>
      </c>
      <c r="C11" s="1" t="s">
        <v>33</v>
      </c>
      <c r="D11" s="1" t="s">
        <v>44</v>
      </c>
      <c r="E11" s="1" t="s">
        <v>45</v>
      </c>
      <c r="F11" s="1" t="s">
        <v>46</v>
      </c>
    </row>
    <row r="12" spans="1:6" x14ac:dyDescent="0.25">
      <c r="A12" t="s">
        <v>38</v>
      </c>
      <c r="B12" t="s">
        <v>47</v>
      </c>
      <c r="C12" t="s">
        <v>40</v>
      </c>
      <c r="D12">
        <v>15.2</v>
      </c>
      <c r="E12">
        <v>20.6</v>
      </c>
      <c r="F12">
        <v>5.4</v>
      </c>
    </row>
    <row r="13" spans="1:6" x14ac:dyDescent="0.25">
      <c r="A13" t="s">
        <v>38</v>
      </c>
      <c r="B13" t="s">
        <v>47</v>
      </c>
      <c r="C13" t="s">
        <v>39</v>
      </c>
      <c r="D13">
        <v>4.3</v>
      </c>
      <c r="E13">
        <v>24</v>
      </c>
      <c r="F13">
        <v>19.7</v>
      </c>
    </row>
    <row r="14" spans="1:6" x14ac:dyDescent="0.25">
      <c r="A14" t="s">
        <v>38</v>
      </c>
      <c r="B14" t="s">
        <v>48</v>
      </c>
      <c r="C14" t="s">
        <v>40</v>
      </c>
      <c r="D14">
        <v>13.9</v>
      </c>
      <c r="E14">
        <v>20.3</v>
      </c>
      <c r="F14">
        <v>6.4</v>
      </c>
    </row>
    <row r="15" spans="1:6" x14ac:dyDescent="0.25">
      <c r="A15" t="s">
        <v>38</v>
      </c>
      <c r="B15" t="s">
        <v>48</v>
      </c>
      <c r="C15" t="s">
        <v>39</v>
      </c>
      <c r="D15">
        <v>2.9</v>
      </c>
      <c r="E15">
        <v>25.4</v>
      </c>
      <c r="F15">
        <v>22.4</v>
      </c>
    </row>
    <row r="16" spans="1:6" x14ac:dyDescent="0.25">
      <c r="A16" t="s">
        <v>41</v>
      </c>
      <c r="B16" t="s">
        <v>47</v>
      </c>
      <c r="C16" t="s">
        <v>40</v>
      </c>
      <c r="D16">
        <v>-4.4000000000000004</v>
      </c>
      <c r="E16">
        <v>18</v>
      </c>
      <c r="F16">
        <v>22.4</v>
      </c>
    </row>
    <row r="17" spans="1:6" x14ac:dyDescent="0.25">
      <c r="A17" t="s">
        <v>41</v>
      </c>
      <c r="B17" t="s">
        <v>47</v>
      </c>
      <c r="C17" t="s">
        <v>39</v>
      </c>
      <c r="D17">
        <v>-17.2</v>
      </c>
      <c r="E17">
        <v>26.1</v>
      </c>
      <c r="F17">
        <v>43.2</v>
      </c>
    </row>
    <row r="18" spans="1:6" x14ac:dyDescent="0.25">
      <c r="A18" t="s">
        <v>41</v>
      </c>
      <c r="B18" t="s">
        <v>48</v>
      </c>
      <c r="C18" t="s">
        <v>40</v>
      </c>
      <c r="D18">
        <v>-3.2</v>
      </c>
      <c r="E18">
        <v>18.100000000000001</v>
      </c>
      <c r="F18">
        <v>21.3</v>
      </c>
    </row>
    <row r="19" spans="1:6" x14ac:dyDescent="0.25">
      <c r="A19" t="s">
        <v>41</v>
      </c>
      <c r="B19" t="s">
        <v>48</v>
      </c>
      <c r="C19" t="s">
        <v>39</v>
      </c>
      <c r="D19">
        <v>-1.8</v>
      </c>
      <c r="E19">
        <v>25.7</v>
      </c>
      <c r="F19">
        <v>27.5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5" x14ac:dyDescent="0.25"/>
  <cols>
    <col min="1" max="1" width="18" customWidth="1"/>
    <col min="2" max="2" width="96" customWidth="1"/>
  </cols>
  <sheetData>
    <row r="1" spans="1:2" x14ac:dyDescent="0.25">
      <c r="A1" s="1" t="s">
        <v>49</v>
      </c>
    </row>
    <row r="2" spans="1:2" x14ac:dyDescent="0.25">
      <c r="B2" t="s">
        <v>50</v>
      </c>
    </row>
    <row r="3" spans="1:2" x14ac:dyDescent="0.25">
      <c r="B3" t="s">
        <v>51</v>
      </c>
    </row>
    <row r="4" spans="1:2" x14ac:dyDescent="0.25">
      <c r="B4" t="s">
        <v>52</v>
      </c>
    </row>
    <row r="5" spans="1:2" x14ac:dyDescent="0.25">
      <c r="B5" t="s">
        <v>53</v>
      </c>
    </row>
    <row r="6" spans="1:2" x14ac:dyDescent="0.25">
      <c r="B6" t="s">
        <v>54</v>
      </c>
    </row>
    <row r="8" spans="1:2" x14ac:dyDescent="0.25">
      <c r="A8" s="1" t="s">
        <v>55</v>
      </c>
    </row>
    <row r="9" spans="1:2" x14ac:dyDescent="0.25">
      <c r="B9" t="s">
        <v>56</v>
      </c>
    </row>
    <row r="10" spans="1:2" x14ac:dyDescent="0.25">
      <c r="B10" t="s">
        <v>57</v>
      </c>
    </row>
    <row r="12" spans="1:2" x14ac:dyDescent="0.25">
      <c r="B12" t="s">
        <v>58</v>
      </c>
    </row>
    <row r="13" spans="1:2" x14ac:dyDescent="0.25">
      <c r="B13" t="s">
        <v>59</v>
      </c>
    </row>
    <row r="14" spans="1:2" x14ac:dyDescent="0.25">
      <c r="B14" t="s">
        <v>60</v>
      </c>
    </row>
    <row r="15" spans="1:2" x14ac:dyDescent="0.25">
      <c r="B15" t="s">
        <v>61</v>
      </c>
    </row>
    <row r="16" spans="1:2" x14ac:dyDescent="0.25">
      <c r="B16" t="s">
        <v>62</v>
      </c>
    </row>
    <row r="17" spans="1:2" x14ac:dyDescent="0.25">
      <c r="B17" t="s">
        <v>63</v>
      </c>
    </row>
    <row r="19" spans="1:2" x14ac:dyDescent="0.25">
      <c r="B19" t="s">
        <v>64</v>
      </c>
    </row>
    <row r="20" spans="1:2" x14ac:dyDescent="0.25">
      <c r="B20" t="s">
        <v>65</v>
      </c>
    </row>
    <row r="21" spans="1:2" x14ac:dyDescent="0.25">
      <c r="B21" t="s">
        <v>66</v>
      </c>
    </row>
    <row r="22" spans="1:2" x14ac:dyDescent="0.25">
      <c r="B22" t="s">
        <v>67</v>
      </c>
    </row>
    <row r="24" spans="1:2" x14ac:dyDescent="0.25">
      <c r="B24" t="s">
        <v>68</v>
      </c>
    </row>
    <row r="25" spans="1:2" x14ac:dyDescent="0.25">
      <c r="B25" t="s">
        <v>69</v>
      </c>
    </row>
    <row r="26" spans="1:2" x14ac:dyDescent="0.25">
      <c r="B26" t="s">
        <v>70</v>
      </c>
    </row>
    <row r="28" spans="1:2" x14ac:dyDescent="0.25">
      <c r="A28" s="1" t="s">
        <v>71</v>
      </c>
    </row>
    <row r="29" spans="1:2" x14ac:dyDescent="0.25">
      <c r="B29" t="s">
        <v>72</v>
      </c>
    </row>
    <row r="30" spans="1:2" x14ac:dyDescent="0.25">
      <c r="B30" t="s">
        <v>73</v>
      </c>
    </row>
    <row r="31" spans="1:2" x14ac:dyDescent="0.25">
      <c r="B31" t="s">
        <v>74</v>
      </c>
    </row>
    <row r="32" spans="1:2" x14ac:dyDescent="0.25">
      <c r="B3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Slope</vt:lpstr>
      <vt:lpstr>SlotMap</vt:lpstr>
      <vt:lpstr>Reference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Romao</cp:lastModifiedBy>
  <dcterms:created xsi:type="dcterms:W3CDTF">2026-08-21T11:54:31Z</dcterms:created>
  <dcterms:modified xsi:type="dcterms:W3CDTF">2026-09-21T22:44:48Z</dcterms:modified>
</cp:coreProperties>
</file>